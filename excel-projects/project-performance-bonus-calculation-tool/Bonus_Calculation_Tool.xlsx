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e75b9222a532c/Documents/"/>
    </mc:Choice>
  </mc:AlternateContent>
  <xr:revisionPtr revIDLastSave="0" documentId="8_{EC005043-EDF6-8845-937E-A92AF8E6A304}" xr6:coauthVersionLast="47" xr6:coauthVersionMax="47" xr10:uidLastSave="{00000000-0000-0000-0000-000000000000}"/>
  <bookViews>
    <workbookView xWindow="20" yWindow="600" windowWidth="28040" windowHeight="16000" activeTab="3" xr2:uid="{05DC3626-91D8-FE49-9406-CFFCCA833EF5}"/>
  </bookViews>
  <sheets>
    <sheet name="Start Here!" sheetId="4" r:id="rId1"/>
    <sheet name="Admin" sheetId="1" r:id="rId2"/>
    <sheet name="Boss Eval Questions" sheetId="3" r:id="rId3"/>
    <sheet name="Project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O3" i="2" s="1"/>
  <c r="P3" i="2"/>
  <c r="Q3" i="2"/>
  <c r="R3" i="2" s="1"/>
  <c r="S3" i="2"/>
  <c r="T3" i="2"/>
  <c r="T2" i="2"/>
  <c r="S2" i="2"/>
  <c r="Q2" i="2"/>
  <c r="R2" i="2" s="1"/>
  <c r="P2" i="2"/>
  <c r="N2" i="2"/>
  <c r="O2" i="2" s="1"/>
  <c r="B16" i="1"/>
  <c r="B11" i="1"/>
  <c r="B5" i="1"/>
  <c r="V2" i="2" l="1"/>
  <c r="V3" i="2"/>
  <c r="U3" i="2"/>
  <c r="U2" i="2"/>
  <c r="W2" i="2" s="1"/>
  <c r="X2" i="2" s="1"/>
  <c r="W3" i="2" l="1"/>
  <c r="X3" i="2" s="1"/>
</calcChain>
</file>

<file path=xl/sharedStrings.xml><?xml version="1.0" encoding="utf-8"?>
<sst xmlns="http://schemas.openxmlformats.org/spreadsheetml/2006/main" count="197" uniqueCount="159">
  <si>
    <t>Top Level Settings</t>
  </si>
  <si>
    <t>Max Bonus ($)</t>
  </si>
  <si>
    <t>Sub Var Weight</t>
  </si>
  <si>
    <t>Obj Var Weight</t>
  </si>
  <si>
    <t>Total</t>
  </si>
  <si>
    <t>Customer Survey</t>
  </si>
  <si>
    <t>Boss Evaluation</t>
  </si>
  <si>
    <t>Mistakes</t>
  </si>
  <si>
    <t>Profit</t>
  </si>
  <si>
    <t>Efficiency</t>
  </si>
  <si>
    <t>Mistake Settings</t>
  </si>
  <si>
    <t>Normalization Hours</t>
  </si>
  <si>
    <t>Max Mistake Rate (per 50 hrs)</t>
  </si>
  <si>
    <t>Project Name</t>
  </si>
  <si>
    <t>Designer</t>
  </si>
  <si>
    <t>Customer Score</t>
  </si>
  <si>
    <t>Boss Q1</t>
  </si>
  <si>
    <t>Boss Q2</t>
  </si>
  <si>
    <t>Boss Q3</t>
  </si>
  <si>
    <t>Boss Q4</t>
  </si>
  <si>
    <t>Boss Q5</t>
  </si>
  <si>
    <t>Hours</t>
  </si>
  <si>
    <t>Target Profit</t>
  </si>
  <si>
    <t>Target Efficiency</t>
  </si>
  <si>
    <t>Boss Average</t>
  </si>
  <si>
    <t>Mistake Score</t>
  </si>
  <si>
    <t>Efficiency Score</t>
  </si>
  <si>
    <t>Boss Score</t>
  </si>
  <si>
    <t>Mistake Rate</t>
  </si>
  <si>
    <t>Profit Score</t>
  </si>
  <si>
    <t>Sub Var</t>
  </si>
  <si>
    <t>Obj Var</t>
  </si>
  <si>
    <t>Final Score</t>
  </si>
  <si>
    <t>Bonus</t>
  </si>
  <si>
    <t>Customer Average</t>
  </si>
  <si>
    <t>Q1</t>
  </si>
  <si>
    <t>Q2</t>
  </si>
  <si>
    <t>Q3</t>
  </si>
  <si>
    <t>Q4</t>
  </si>
  <si>
    <t>Q5</t>
  </si>
  <si>
    <t>How effectively did the designer communicate with the client and maintain a positive relationship throughout the project?</t>
  </si>
  <si>
    <t>How strong was the overall design, attention to detail, and execution of the project?</t>
  </si>
  <si>
    <t>How well did the designer stay organized, manage timelines, and keep the project on track?</t>
  </si>
  <si>
    <t>How effectively did the designer handle challenges, changes, or unexpected issues during the project?</t>
  </si>
  <si>
    <t>Category</t>
  </si>
  <si>
    <t>Score</t>
  </si>
  <si>
    <t>Definition</t>
  </si>
  <si>
    <t>Communication</t>
  </si>
  <si>
    <t>Design</t>
  </si>
  <si>
    <t>Organization</t>
  </si>
  <si>
    <t>Problem Solving</t>
  </si>
  <si>
    <t>Professionalism</t>
  </si>
  <si>
    <t>Questions</t>
  </si>
  <si>
    <t>How reliable and professional was the designer (ownership of work, follow-through, accountability)?</t>
  </si>
  <si>
    <t>Poor – Performance did not meet expectations and required significant correction or intervention.</t>
  </si>
  <si>
    <t>Below Average – Performance occasionally met expectations but showed noticeable inconsistencies and required guidance.</t>
  </si>
  <si>
    <t>Meets Expectations – Performance met expectations with reliable and consistent execution of responsibilities.</t>
  </si>
  <si>
    <t>Above Average – Performance exceeded expectations with strong execution, initiative, and attention to detail.</t>
  </si>
  <si>
    <t>Excellent – Performance was exceptional, consistently exceeding expectations with outstanding ownership and execution.</t>
  </si>
  <si>
    <t>Q1-5</t>
  </si>
  <si>
    <t>Weights</t>
  </si>
  <si>
    <t>Values</t>
  </si>
  <si>
    <t xml:space="preserve">Subjective Variable </t>
  </si>
  <si>
    <t>Objective Variable</t>
  </si>
  <si>
    <t>Purpose</t>
  </si>
  <si>
    <t>This tool provides a standardized way to evaluate project performance and calculate designer bonuses based on both qualitative and quantitative factors.</t>
  </si>
  <si>
    <t>STEP 1: Set Up (Admin Tab — Done Occasionally)</t>
  </si>
  <si>
    <r>
      <t xml:space="preserve">Navigate to the </t>
    </r>
    <r>
      <rPr>
        <b/>
        <sz val="12"/>
        <color theme="1"/>
        <rFont val="Aptos Narrow"/>
        <family val="2"/>
        <scheme val="minor"/>
      </rPr>
      <t>Admin</t>
    </r>
    <r>
      <rPr>
        <sz val="12"/>
        <color theme="1"/>
        <rFont val="Aptos Narrow"/>
        <family val="2"/>
        <scheme val="minor"/>
      </rPr>
      <t xml:space="preserve"> tab</t>
    </r>
  </si>
  <si>
    <t>Confirm or adjust:</t>
  </si>
  <si>
    <t>Max Bonus Amount</t>
  </si>
  <si>
    <t>Weights (Subjective vs Objective)</t>
  </si>
  <si>
    <t>Sub-category weights</t>
  </si>
  <si>
    <t>Objective weights</t>
  </si>
  <si>
    <t>Mistake settings</t>
  </si>
  <si>
    <r>
      <t xml:space="preserve">Ensure all weight totals equal </t>
    </r>
    <r>
      <rPr>
        <b/>
        <sz val="12"/>
        <color theme="1"/>
        <rFont val="Aptos Narrow"/>
        <family val="2"/>
        <scheme val="minor"/>
      </rPr>
      <t>1.00</t>
    </r>
  </si>
  <si>
    <t>STEP 2: Add a New Project (Projects Tab)</t>
  </si>
  <si>
    <r>
      <t xml:space="preserve">Go to the </t>
    </r>
    <r>
      <rPr>
        <b/>
        <sz val="12"/>
        <color theme="1"/>
        <rFont val="Aptos Narrow"/>
        <family val="2"/>
        <scheme val="minor"/>
      </rPr>
      <t>Projects</t>
    </r>
    <r>
      <rPr>
        <sz val="12"/>
        <color theme="1"/>
        <rFont val="Aptos Narrow"/>
        <family val="2"/>
        <scheme val="minor"/>
      </rPr>
      <t xml:space="preserve"> tab</t>
    </r>
  </si>
  <si>
    <t>Add a new row at the bottom of the table</t>
  </si>
  <si>
    <r>
      <t xml:space="preserve">Enter values in the </t>
    </r>
    <r>
      <rPr>
        <b/>
        <sz val="12"/>
        <color theme="1"/>
        <rFont val="Aptos Narrow"/>
        <family val="2"/>
        <scheme val="minor"/>
      </rPr>
      <t>blue cells only</t>
    </r>
  </si>
  <si>
    <t>STEP 3: Enter Project Inputs</t>
  </si>
  <si>
    <t>Basic Info</t>
  </si>
  <si>
    <t>Subjective Inputs</t>
  </si>
  <si>
    <r>
      <t>Customer Score (1–5)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(leave blank if no survey response)</t>
    </r>
  </si>
  <si>
    <r>
      <t>Boss Evaluation (Q1–Q5)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(use rubric sheet for guidance)</t>
    </r>
  </si>
  <si>
    <r>
      <t>Mistakes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(total number of mistakes during the project)</t>
    </r>
  </si>
  <si>
    <t>Objective Inputs</t>
  </si>
  <si>
    <r>
      <t>Hours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(total labor hours)</t>
    </r>
  </si>
  <si>
    <r>
      <t>Profit ($)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(total project profit)</t>
    </r>
  </si>
  <si>
    <r>
      <t>Target Profit ($)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(expected profit)</t>
    </r>
  </si>
  <si>
    <r>
      <t>Target Efficiency ($/hr)</t>
    </r>
    <r>
      <rPr>
        <sz val="12"/>
        <color theme="1"/>
        <rFont val="Aptos Narrow"/>
        <family val="2"/>
        <scheme val="minor"/>
      </rPr>
      <t xml:space="preserve"> </t>
    </r>
    <r>
      <rPr>
        <i/>
        <sz val="12"/>
        <color theme="1"/>
        <rFont val="Aptos Narrow"/>
        <family val="2"/>
        <scheme val="minor"/>
      </rPr>
      <t>(expected profit per hour)</t>
    </r>
  </si>
  <si>
    <t>STEP 4: Review Results (Automatic)</t>
  </si>
  <si>
    <t>The spreadsheet will automatically calculate:</t>
  </si>
  <si>
    <t>Subjective Score (sub_var)</t>
  </si>
  <si>
    <t>Objective Score (obj_var)</t>
  </si>
  <si>
    <t>Final Score (0–1 scale)</t>
  </si>
  <si>
    <t>Bonus Amount ($)</t>
  </si>
  <si>
    <t>STEP 5: Interpret the Results</t>
  </si>
  <si>
    <t>Higher scores indicate stronger overall performance</t>
  </si>
  <si>
    <r>
      <t xml:space="preserve">A score of </t>
    </r>
    <r>
      <rPr>
        <b/>
        <sz val="12"/>
        <color theme="1"/>
        <rFont val="Aptos Narrow"/>
        <family val="2"/>
        <scheme val="minor"/>
      </rPr>
      <t>1.00</t>
    </r>
    <r>
      <rPr>
        <sz val="12"/>
        <color theme="1"/>
        <rFont val="Aptos Narrow"/>
        <family val="2"/>
        <scheme val="minor"/>
      </rPr>
      <t xml:space="preserve"> represents maximum performance</t>
    </r>
  </si>
  <si>
    <t>Bonus = Final Score × Max Bonus</t>
  </si>
  <si>
    <t>Important Notes</t>
  </si>
  <si>
    <r>
      <t xml:space="preserve">Only edit </t>
    </r>
    <r>
      <rPr>
        <b/>
        <sz val="12"/>
        <color theme="1"/>
        <rFont val="Aptos Narrow"/>
        <family val="2"/>
        <scheme val="minor"/>
      </rPr>
      <t>blue cells</t>
    </r>
    <r>
      <rPr>
        <sz val="12"/>
        <color theme="1"/>
        <rFont val="Aptos Narrow"/>
        <family val="2"/>
        <scheme val="minor"/>
      </rPr>
      <t xml:space="preserve"> — all others are calculated automatically</t>
    </r>
  </si>
  <si>
    <t>If customer survey is missing, scoring will adjust automatically</t>
  </si>
  <si>
    <t>If you see:</t>
  </si>
  <si>
    <r>
      <t>“MISSING HOURS”</t>
    </r>
    <r>
      <rPr>
        <sz val="12"/>
        <color theme="1"/>
        <rFont val="Aptos Narrow"/>
        <family val="2"/>
        <scheme val="minor"/>
      </rPr>
      <t xml:space="preserve"> → enter hours</t>
    </r>
  </si>
  <si>
    <r>
      <t>“MISSING TARGET”</t>
    </r>
    <r>
      <rPr>
        <sz val="12"/>
        <color theme="1"/>
        <rFont val="Aptos Narrow"/>
        <family val="2"/>
        <scheme val="minor"/>
      </rPr>
      <t xml:space="preserve"> → enter target values</t>
    </r>
  </si>
  <si>
    <t>Best Practices</t>
  </si>
  <si>
    <t>Enter data as soon as a project is completed</t>
  </si>
  <si>
    <t>Set targets early in the project for consistency</t>
  </si>
  <si>
    <r>
      <t xml:space="preserve">Use the </t>
    </r>
    <r>
      <rPr>
        <b/>
        <sz val="12"/>
        <color theme="1"/>
        <rFont val="Aptos Narrow"/>
        <family val="2"/>
        <scheme val="minor"/>
      </rPr>
      <t>Boss Evaluation Rubric</t>
    </r>
    <r>
      <rPr>
        <sz val="12"/>
        <color theme="1"/>
        <rFont val="Aptos Narrow"/>
        <family val="2"/>
        <scheme val="minor"/>
      </rPr>
      <t xml:space="preserve"> for consistent scoring</t>
    </r>
  </si>
  <si>
    <t>Questions or Adjustments</t>
  </si>
  <si>
    <r>
      <t xml:space="preserve">For updates to weights or scoring logic, refer to the </t>
    </r>
    <r>
      <rPr>
        <b/>
        <sz val="12"/>
        <color theme="1"/>
        <rFont val="Aptos Narrow"/>
        <family val="2"/>
        <scheme val="minor"/>
      </rPr>
      <t>Admin tab</t>
    </r>
    <r>
      <rPr>
        <sz val="12"/>
        <color theme="1"/>
        <rFont val="Aptos Narrow"/>
        <family val="2"/>
        <scheme val="minor"/>
      </rPr>
      <t xml:space="preserve"> or contact the tool creator.</t>
    </r>
  </si>
  <si>
    <t>PROJECT BONUS CALCULATOR — HOW TO USE</t>
  </si>
  <si>
    <t>Example Project 1</t>
  </si>
  <si>
    <t>Example Project 2</t>
  </si>
  <si>
    <t>Field</t>
  </si>
  <si>
    <t>Name or identifier of the project.</t>
  </si>
  <si>
    <t>Designer responsible for the project.</t>
  </si>
  <si>
    <t>Average customer survey score on a 1–5 scale; may be left blank if no survey is completed.</t>
  </si>
  <si>
    <t>Score for client communication and relationship management (1–5).</t>
  </si>
  <si>
    <t>Score for design quality, attention to detail, and execution (1–5).</t>
  </si>
  <si>
    <t>Score for organization, timeline management, and project tracking (1–5).</t>
  </si>
  <si>
    <t>Score for problem solving and adaptability during the project (1–5).</t>
  </si>
  <si>
    <t>Score for professionalism, accountability, and follow-through (1–5).</t>
  </si>
  <si>
    <t>Total number of mistakes recorded during the project.</t>
  </si>
  <si>
    <t>Total labor hours spent on the project.</t>
  </si>
  <si>
    <t>Total profit generated from the project (in USD).</t>
  </si>
  <si>
    <t>Expected or target profit for the project (in USD).</t>
  </si>
  <si>
    <t>Expected profit per hour for the project (USD/hour).</t>
  </si>
  <si>
    <t>Average of Boss Q1–Q5 scores (1–5 scale).</t>
  </si>
  <si>
    <t>Boss Average converted to a 0–1 scale.</t>
  </si>
  <si>
    <t>Customer Average converted to a 0–1 scale; blank if no survey is provided.</t>
  </si>
  <si>
    <t>Number of mistakes normalized to a standard time unit (per 50 hours).</t>
  </si>
  <si>
    <t>Score from 0–1 reflecting mistake performance, where fewer mistakes result in a higher score.</t>
  </si>
  <si>
    <t>Score from 0–1 comparing actual profit to target profit, capped at 1.</t>
  </si>
  <si>
    <t>Score from 0–1 comparing actual efficiency (profit per hour) to target efficiency, capped at 1.</t>
  </si>
  <si>
    <t>Weighted subjective score combining customer, boss, and mistake performance.</t>
  </si>
  <si>
    <t>Weighted objective score combining profit and efficiency performance.</t>
  </si>
  <si>
    <t>Overall project score (0–1) based on weighted subjective and objective performance.</t>
  </si>
  <si>
    <t>Recommended bonus amount calculated as Final Score multiplied by Max Bonus.</t>
  </si>
  <si>
    <t>Variable</t>
  </si>
  <si>
    <t>PROJECTS TAB- DICTIONARY</t>
  </si>
  <si>
    <t>Maximum bonus amount that can be awarded for a single project.</t>
  </si>
  <si>
    <t>Weight assigned to the subjective score in the final score calculation.</t>
  </si>
  <si>
    <t>Weight assigned to the objective score in the final score calculation.</t>
  </si>
  <si>
    <t>Customer Survey Weight</t>
  </si>
  <si>
    <t>Weight of the customer score within the subjective variable.</t>
  </si>
  <si>
    <t>Boss Evaluation Weight</t>
  </si>
  <si>
    <t>Weight of the boss evaluation within the subjective variable.</t>
  </si>
  <si>
    <t>Mistakes Weight</t>
  </si>
  <si>
    <t>Weight of the mistake score within the subjective variable.</t>
  </si>
  <si>
    <t>Profit Weight</t>
  </si>
  <si>
    <t>Weight of the profit score within the objective variable.</t>
  </si>
  <si>
    <t>Efficiency Weight</t>
  </si>
  <si>
    <t>Weight of the efficiency score within the objective variable.</t>
  </si>
  <si>
    <t>Standard number of hours used to normalize mistakes (default is 50 hours).</t>
  </si>
  <si>
    <t>Max Mistake Rate (per Normalization Hours)</t>
  </si>
  <si>
    <t>Threshold for mistakes at which the mistake score reaches zero.</t>
  </si>
  <si>
    <t>ADMIN TAB- DICTIONARY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</si>
</sst>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2" borderId="0" xfId="0" applyFont="1" applyFill="1"/>
    <xf numFmtId="0" fontId="3" fillId="2" borderId="0" xfId="0" applyFont="1" applyFill="1"/>
    <xf numFmtId="0" fontId="1" fillId="3" borderId="0" xfId="0" applyFont="1" applyFill="1"/>
    <xf numFmtId="4" fontId="0" fillId="4" borderId="0" xfId="0" applyNumberFormat="1" applyFill="1"/>
    <xf numFmtId="4" fontId="0" fillId="3" borderId="0" xfId="0" applyNumberFormat="1" applyFill="1"/>
    <xf numFmtId="4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4" formatCode="#,##0.00"/>
      <fill>
        <patternFill patternType="solid">
          <fgColor indexed="64"/>
          <bgColor rgb="FF92D050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  <fill>
        <patternFill patternType="solid">
          <fgColor indexed="64"/>
          <bgColor theme="7" tint="0.79998168889431442"/>
        </patternFill>
      </fill>
    </dxf>
    <dxf>
      <numFmt numFmtId="4" formatCode="#,##0.00"/>
      <fill>
        <patternFill patternType="solid">
          <fgColor indexed="64"/>
          <bgColor theme="7" tint="0.79998168889431442"/>
        </patternFill>
      </fill>
    </dxf>
    <dxf>
      <numFmt numFmtId="4" formatCode="#,##0.00"/>
      <fill>
        <patternFill patternType="solid">
          <fgColor indexed="64"/>
          <bgColor theme="7" tint="0.79998168889431442"/>
        </patternFill>
      </fill>
    </dxf>
    <dxf>
      <numFmt numFmtId="4" formatCode="#,##0.0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FDFF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E3C1F6-5892-F048-88A4-B622C7637202}" name="Table9" displayName="Table9" ref="D2:E26" totalsRowShown="0" headerRowDxfId="11">
  <autoFilter ref="D2:E26" xr:uid="{DFE3C1F6-5892-F048-88A4-B622C7637202}">
    <filterColumn colId="0" hiddenButton="1"/>
    <filterColumn colId="1" hiddenButton="1"/>
  </autoFilter>
  <tableColumns count="2">
    <tableColumn id="1" xr3:uid="{D3CAD8F8-6BAD-4441-89DF-353462131914}" name="Variable"/>
    <tableColumn id="2" xr3:uid="{3107D8E9-FB7D-054D-BED8-0A561A95E0CB}" name="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9D0C3E-AB7C-8E4D-A777-29CF5298AB62}" name="Table1012" displayName="Table1012" ref="D29:E39" totalsRowShown="0" headerRowDxfId="10">
  <autoFilter ref="D29:E39" xr:uid="{089D0C3E-AB7C-8E4D-A777-29CF5298AB62}">
    <filterColumn colId="0" hiddenButton="1"/>
    <filterColumn colId="1" hiddenButton="1"/>
  </autoFilter>
  <tableColumns count="2">
    <tableColumn id="1" xr3:uid="{E4C4C8F0-BB1E-1342-86B9-C35F2A3894B9}" name="Field"/>
    <tableColumn id="2" xr3:uid="{4684F8EB-0FF5-1A46-96A7-FDF64D273998}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4AC177-947D-0B46-9F78-A587EBD2B176}" name="Table3" displayName="Table3" ref="A1:B5" totalsRowShown="0">
  <autoFilter ref="A1:B5" xr:uid="{FF4AC177-947D-0B46-9F78-A587EBD2B176}">
    <filterColumn colId="0" hiddenButton="1"/>
    <filterColumn colId="1" hiddenButton="1"/>
  </autoFilter>
  <tableColumns count="2">
    <tableColumn id="1" xr3:uid="{343A953D-22A8-2147-BB87-C6154EA007A7}" name="Top Level Settings"/>
    <tableColumn id="2" xr3:uid="{36F090A2-6576-3241-B5FC-4B0039804A03}" name="Values" dataDxfId="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1AFD46-17BD-7E43-9763-DA9B469E608B}" name="Table4" displayName="Table4" ref="A7:B11" totalsRowShown="0">
  <autoFilter ref="A7:B11" xr:uid="{671AFD46-17BD-7E43-9763-DA9B469E608B}">
    <filterColumn colId="0" hiddenButton="1"/>
    <filterColumn colId="1" hiddenButton="1"/>
  </autoFilter>
  <tableColumns count="2">
    <tableColumn id="1" xr3:uid="{45F65CD8-BBBC-6343-A048-86877ADC5B3E}" name="Subjective Variable "/>
    <tableColumn id="2" xr3:uid="{85BF6519-BD20-D84E-B2A5-6D6F5749DD56}" name="Weights" dataDxfId="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CF422C-297A-3F42-99A3-26978527B3F1}" name="Table5" displayName="Table5" ref="A13:B16" totalsRowShown="0">
  <autoFilter ref="A13:B16" xr:uid="{9CCF422C-297A-3F42-99A3-26978527B3F1}">
    <filterColumn colId="0" hiddenButton="1"/>
    <filterColumn colId="1" hiddenButton="1"/>
  </autoFilter>
  <tableColumns count="2">
    <tableColumn id="1" xr3:uid="{8319FD11-09C3-F043-9CAB-90A7E71C8FE8}" name="Objective Variable"/>
    <tableColumn id="2" xr3:uid="{C243483A-0173-5F4F-842E-623C5C5FD40A}" name="Weight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6025337-ACD5-6042-950B-9229C5730F57}" name="Table6" displayName="Table6" ref="A18:B20" totalsRowShown="0">
  <autoFilter ref="A18:B20" xr:uid="{56025337-ACD5-6042-950B-9229C5730F57}">
    <filterColumn colId="0" hiddenButton="1"/>
    <filterColumn colId="1" hiddenButton="1"/>
  </autoFilter>
  <tableColumns count="2">
    <tableColumn id="1" xr3:uid="{72A6159D-FF58-E148-A48F-AC9B92542BEE}" name="Mistake Settings"/>
    <tableColumn id="2" xr3:uid="{51154547-29EA-C844-9690-8EEF11AD0618}" name="Values" dataDxfId="7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591C3D-2AD8-2940-A37A-A2CC3AF02977}" name="Table7" displayName="Table7" ref="A1:C6" totalsRowShown="0">
  <autoFilter ref="A1:C6" xr:uid="{00591C3D-2AD8-2940-A37A-A2CC3AF02977}">
    <filterColumn colId="0" hiddenButton="1"/>
    <filterColumn colId="1" hiddenButton="1"/>
    <filterColumn colId="2" hiddenButton="1"/>
  </autoFilter>
  <tableColumns count="3">
    <tableColumn id="1" xr3:uid="{C05CD440-FDD0-CC49-AD3F-AF8EECBC4048}" name="Category"/>
    <tableColumn id="2" xr3:uid="{129C7114-ECE5-114F-B95E-B2C3E6402287}" name="Q1-5"/>
    <tableColumn id="3" xr3:uid="{BBC0B029-D5E0-3547-B324-B414596EA259}" name="Question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A8DE99-0176-EF4B-A20D-BA9A756D8E40}" name="Table8" displayName="Table8" ref="E1:F6" totalsRowShown="0" headerRowDxfId="6" dataDxfId="5">
  <autoFilter ref="E1:F6" xr:uid="{5EA8DE99-0176-EF4B-A20D-BA9A756D8E40}">
    <filterColumn colId="0" hiddenButton="1"/>
    <filterColumn colId="1" hiddenButton="1"/>
  </autoFilter>
  <tableColumns count="2">
    <tableColumn id="1" xr3:uid="{2C178AE3-2AC4-294A-924F-3CE622406616}" name="Score" dataDxfId="4"/>
    <tableColumn id="2" xr3:uid="{1648860D-5D43-C748-A7C0-3237656BDE66}" name="Definition" dataDxfId="3"/>
  </tableColumns>
  <tableStyleInfo name="TableStyleMedium23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EEF88A-659A-A74B-A0C3-813A98C82E0D}" name="Table2" displayName="Table2" ref="A1:X3" totalsRowShown="0" headerRowDxfId="36">
  <autoFilter ref="A1:X3" xr:uid="{CDEEF88A-659A-A74B-A0C3-813A98C82E0D}"/>
  <tableColumns count="24">
    <tableColumn id="1" xr3:uid="{59EB5971-3D2D-0847-AD8C-66BDBAB6AFBA}" name="Project Name" dataDxfId="35"/>
    <tableColumn id="2" xr3:uid="{DFCD8D42-2AC0-0A4D-A27F-198171D667A4}" name="Designer" dataDxfId="34"/>
    <tableColumn id="3" xr3:uid="{F4E879E8-78AF-0648-8F3B-A9F5BC92BE40}" name="Customer Average" dataDxfId="33"/>
    <tableColumn id="4" xr3:uid="{6B31EE1A-61AA-D34D-9AA6-B293608DA0B0}" name="Boss Q1" dataDxfId="32"/>
    <tableColumn id="5" xr3:uid="{233940EA-3000-944F-A173-294BD7E3151B}" name="Boss Q2" dataDxfId="31"/>
    <tableColumn id="6" xr3:uid="{1F92C900-6992-D348-996B-1CFFB282DB69}" name="Boss Q3" dataDxfId="30"/>
    <tableColumn id="7" xr3:uid="{D16827AD-77C7-A544-8BD7-0BEA2D0CF119}" name="Boss Q4" dataDxfId="29"/>
    <tableColumn id="8" xr3:uid="{0D28E7BD-6CA3-9644-81D6-ACCD4718FF37}" name="Boss Q5" dataDxfId="28"/>
    <tableColumn id="9" xr3:uid="{549FDE48-E170-4A45-9C2D-9D6892AC9CBF}" name="Mistakes" dataDxfId="27"/>
    <tableColumn id="10" xr3:uid="{7382C0CF-37FE-D446-A83A-DB70353A12A0}" name="Hours" dataDxfId="26"/>
    <tableColumn id="11" xr3:uid="{9EA5C786-DED4-F944-BCC9-7CC796ED340E}" name="Profit" dataDxfId="25"/>
    <tableColumn id="12" xr3:uid="{F2A5732A-5A82-FF4C-8382-B6B13E67B39B}" name="Target Profit" dataDxfId="24"/>
    <tableColumn id="13" xr3:uid="{DCD7E2C3-41AD-3449-95E3-6D1C109176D5}" name="Target Efficiency" dataDxfId="23"/>
    <tableColumn id="14" xr3:uid="{C6A38E13-03AC-C940-80E0-C396DD602095}" name="Boss Average" dataDxfId="22">
      <calculatedColumnFormula>AVERAGE(Table2[[#This Row],[Boss Q1]],Table2[[#This Row],[Boss Q2]],Table2[[#This Row],[Boss Q3]],Table2[[#This Row],[Boss Q4]],Table2[[#This Row],[Boss Q5]])</calculatedColumnFormula>
    </tableColumn>
    <tableColumn id="15" xr3:uid="{98BA1273-FF94-D24A-9AE6-0DC0EDC66708}" name="Boss Score" dataDxfId="21">
      <calculatedColumnFormula>(Table2[[#This Row],[Boss Average]]-1)/4</calculatedColumnFormula>
    </tableColumn>
    <tableColumn id="16" xr3:uid="{EB4BA338-1CE8-3D4C-80BD-C2A8B8D2AED3}" name="Customer Score" dataDxfId="20">
      <calculatedColumnFormula>IF(Table2[[#This Row],[Customer Average]]="","",
(Table2[[#This Row],[Customer Average]]-1)/4)</calculatedColumnFormula>
    </tableColumn>
    <tableColumn id="17" xr3:uid="{10811E79-E645-ED41-A705-CE93B4C7E6DE}" name="Mistake Rate" dataDxfId="19">
      <calculatedColumnFormula>IF(Table2[[#This Row],[Hours]]&lt;=0,"MISSING HOURS", (Table2[[#This Row],[Mistakes]]/Table2[[#This Row],[Hours]])*Admin!$B$19)</calculatedColumnFormula>
    </tableColumn>
    <tableColumn id="18" xr3:uid="{84974F72-36EC-8E4D-9780-004150A432BC}" name="Mistake Score" dataDxfId="18">
      <calculatedColumnFormula>IF(Table2[[#This Row],[Hours]]&lt;=0,"MISSING HOURS", MAX(0,1-(Table2[[#This Row],[Mistake Rate]]/Admin!$B$20)))</calculatedColumnFormula>
    </tableColumn>
    <tableColumn id="19" xr3:uid="{04646786-3386-6549-9C71-FDC0D1F276BB}" name="Profit Score" dataDxfId="17">
      <calculatedColumnFormula>IF(Table2[[#This Row],[Target Profit]]&lt;=0,"MISSING TARGET",MIN(1,Table2[[#This Row],[Profit]]/Table2[[#This Row],[Target Profit]]))</calculatedColumnFormula>
    </tableColumn>
    <tableColumn id="20" xr3:uid="{B69E87A9-E748-6444-A093-4CA5239510CF}" name="Efficiency Score" dataDxfId="16">
      <calculatedColumnFormula>IF(OR(Table2[[#This Row],[Hours]]&lt;=0,Table2[[#This Row],[Target Efficiency]]&lt;=0),
"MISSING HOURS/TARGET",
MIN(1,(Table2[[#This Row],[Profit]]/Table2[[#This Row],[Hours]])/Table2[[#This Row],[Target Efficiency]]))</calculatedColumnFormula>
    </tableColumn>
    <tableColumn id="21" xr3:uid="{36613793-14BF-054D-B529-2D0226616D91}" name="Sub Var" dataDxfId="15">
      <calculatedColumnFormula>IF(Table2[[#This Row],[Customer Average]]="",
(
(Table2[[#This Row],[Boss Score]]*Admin!$B$9)+(Table2[[#This Row],[Mistake Score]]*Admin!$B$10)
)/(Admin!$B$9+Admin!$B$10),
(Table2[[#This Row],[Customer Score]]*Admin!$B$8)+
(Table2[[#This Row],[Boss Score]]*Admin!$B$9)+
(Table2[[#This Row],[Mistake Score]]*Admin!$B$10)
)</calculatedColumnFormula>
    </tableColumn>
    <tableColumn id="22" xr3:uid="{CEC8B049-062F-724C-ACDB-5CD8995DB320}" name="Obj Var" dataDxfId="14">
      <calculatedColumnFormula>(Table2[[#This Row],[Profit Score]]*Admin!$B$14)+
(Table2[[#This Row],[Efficiency Score]]*Admin!$B$15)</calculatedColumnFormula>
    </tableColumn>
    <tableColumn id="23" xr3:uid="{7FE3EFFE-D486-FA48-B60B-CCD78A030E70}" name="Final Score" dataDxfId="13">
      <calculatedColumnFormula>(Table2[[#This Row],[Sub Var]]*Admin!$B$3)+
(Table2[[#This Row],[Obj Var]]*Admin!$B$4)</calculatedColumnFormula>
    </tableColumn>
    <tableColumn id="24" xr3:uid="{EC4AB294-83C6-B144-B0A6-161C7B55A6FC}" name="Bonus" dataDxfId="12">
      <calculatedColumnFormula>Table2[[#This Row],[Final Score]]*Admin!$B$2</calculatedColumnFormula>
    </tableColumn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DE374-B992-814A-BE8D-6B83B4715BF9}">
  <dimension ref="A1:H60"/>
  <sheetViews>
    <sheetView zoomScale="88" workbookViewId="0">
      <selection activeCell="B17" sqref="B17"/>
    </sheetView>
  </sheetViews>
  <sheetFormatPr baseColWidth="10" defaultRowHeight="16" x14ac:dyDescent="0.2"/>
  <cols>
    <col min="1" max="1" width="126.5" bestFit="1" customWidth="1"/>
    <col min="4" max="4" width="25" bestFit="1" customWidth="1"/>
    <col min="5" max="5" width="77.33203125" bestFit="1" customWidth="1"/>
    <col min="7" max="7" width="37.5" bestFit="1" customWidth="1"/>
    <col min="8" max="8" width="61.83203125" bestFit="1" customWidth="1"/>
  </cols>
  <sheetData>
    <row r="1" spans="1:8" x14ac:dyDescent="0.2">
      <c r="A1" s="5" t="s">
        <v>112</v>
      </c>
      <c r="D1" s="5" t="s">
        <v>141</v>
      </c>
      <c r="G1" s="4"/>
    </row>
    <row r="2" spans="1:8" x14ac:dyDescent="0.2">
      <c r="D2" s="4" t="s">
        <v>140</v>
      </c>
      <c r="E2" s="4" t="s">
        <v>46</v>
      </c>
      <c r="G2" s="4"/>
      <c r="H2" s="4"/>
    </row>
    <row r="3" spans="1:8" ht="19" x14ac:dyDescent="0.25">
      <c r="A3" s="6" t="s">
        <v>64</v>
      </c>
      <c r="D3" t="s">
        <v>13</v>
      </c>
      <c r="E3" t="s">
        <v>116</v>
      </c>
    </row>
    <row r="4" spans="1:8" x14ac:dyDescent="0.2">
      <c r="A4" t="s">
        <v>65</v>
      </c>
      <c r="D4" t="s">
        <v>14</v>
      </c>
      <c r="E4" t="s">
        <v>117</v>
      </c>
    </row>
    <row r="5" spans="1:8" x14ac:dyDescent="0.2">
      <c r="D5" t="s">
        <v>34</v>
      </c>
      <c r="E5" t="s">
        <v>118</v>
      </c>
    </row>
    <row r="6" spans="1:8" ht="19" x14ac:dyDescent="0.25">
      <c r="A6" s="6" t="s">
        <v>66</v>
      </c>
      <c r="D6" t="s">
        <v>16</v>
      </c>
      <c r="E6" t="s">
        <v>119</v>
      </c>
    </row>
    <row r="7" spans="1:8" x14ac:dyDescent="0.2">
      <c r="A7" t="s">
        <v>67</v>
      </c>
      <c r="D7" t="s">
        <v>17</v>
      </c>
      <c r="E7" t="s">
        <v>120</v>
      </c>
    </row>
    <row r="8" spans="1:8" x14ac:dyDescent="0.2">
      <c r="A8" t="s">
        <v>68</v>
      </c>
      <c r="D8" t="s">
        <v>18</v>
      </c>
      <c r="E8" t="s">
        <v>121</v>
      </c>
    </row>
    <row r="9" spans="1:8" x14ac:dyDescent="0.2">
      <c r="A9" t="s">
        <v>69</v>
      </c>
      <c r="D9" t="s">
        <v>19</v>
      </c>
      <c r="E9" t="s">
        <v>122</v>
      </c>
    </row>
    <row r="10" spans="1:8" x14ac:dyDescent="0.2">
      <c r="A10" t="s">
        <v>70</v>
      </c>
      <c r="D10" t="s">
        <v>20</v>
      </c>
      <c r="E10" t="s">
        <v>123</v>
      </c>
    </row>
    <row r="11" spans="1:8" x14ac:dyDescent="0.2">
      <c r="A11" t="s">
        <v>71</v>
      </c>
      <c r="D11" t="s">
        <v>7</v>
      </c>
      <c r="E11" t="s">
        <v>124</v>
      </c>
    </row>
    <row r="12" spans="1:8" x14ac:dyDescent="0.2">
      <c r="A12" t="s">
        <v>72</v>
      </c>
      <c r="D12" t="s">
        <v>21</v>
      </c>
      <c r="E12" t="s">
        <v>125</v>
      </c>
    </row>
    <row r="13" spans="1:8" x14ac:dyDescent="0.2">
      <c r="A13" t="s">
        <v>73</v>
      </c>
      <c r="D13" t="s">
        <v>8</v>
      </c>
      <c r="E13" t="s">
        <v>126</v>
      </c>
    </row>
    <row r="14" spans="1:8" x14ac:dyDescent="0.2">
      <c r="A14" t="s">
        <v>74</v>
      </c>
      <c r="D14" t="s">
        <v>22</v>
      </c>
      <c r="E14" t="s">
        <v>127</v>
      </c>
    </row>
    <row r="15" spans="1:8" x14ac:dyDescent="0.2">
      <c r="D15" t="s">
        <v>23</v>
      </c>
      <c r="E15" t="s">
        <v>128</v>
      </c>
    </row>
    <row r="16" spans="1:8" ht="19" x14ac:dyDescent="0.25">
      <c r="A16" s="6" t="s">
        <v>75</v>
      </c>
      <c r="D16" t="s">
        <v>24</v>
      </c>
      <c r="E16" t="s">
        <v>129</v>
      </c>
    </row>
    <row r="17" spans="1:5" x14ac:dyDescent="0.2">
      <c r="A17" t="s">
        <v>76</v>
      </c>
      <c r="D17" t="s">
        <v>27</v>
      </c>
      <c r="E17" t="s">
        <v>130</v>
      </c>
    </row>
    <row r="18" spans="1:5" x14ac:dyDescent="0.2">
      <c r="A18" t="s">
        <v>77</v>
      </c>
      <c r="D18" t="s">
        <v>15</v>
      </c>
      <c r="E18" t="s">
        <v>131</v>
      </c>
    </row>
    <row r="19" spans="1:5" x14ac:dyDescent="0.2">
      <c r="A19" t="s">
        <v>78</v>
      </c>
      <c r="D19" t="s">
        <v>28</v>
      </c>
      <c r="E19" t="s">
        <v>132</v>
      </c>
    </row>
    <row r="20" spans="1:5" x14ac:dyDescent="0.2">
      <c r="D20" t="s">
        <v>25</v>
      </c>
      <c r="E20" t="s">
        <v>133</v>
      </c>
    </row>
    <row r="21" spans="1:5" ht="19" x14ac:dyDescent="0.25">
      <c r="A21" s="6" t="s">
        <v>79</v>
      </c>
      <c r="D21" t="s">
        <v>29</v>
      </c>
      <c r="E21" t="s">
        <v>134</v>
      </c>
    </row>
    <row r="22" spans="1:5" x14ac:dyDescent="0.2">
      <c r="A22" s="7" t="s">
        <v>80</v>
      </c>
      <c r="D22" t="s">
        <v>26</v>
      </c>
      <c r="E22" t="s">
        <v>135</v>
      </c>
    </row>
    <row r="23" spans="1:5" x14ac:dyDescent="0.2">
      <c r="A23" t="s">
        <v>13</v>
      </c>
      <c r="D23" t="s">
        <v>30</v>
      </c>
      <c r="E23" t="s">
        <v>136</v>
      </c>
    </row>
    <row r="24" spans="1:5" x14ac:dyDescent="0.2">
      <c r="A24" t="s">
        <v>14</v>
      </c>
      <c r="D24" t="s">
        <v>31</v>
      </c>
      <c r="E24" t="s">
        <v>137</v>
      </c>
    </row>
    <row r="25" spans="1:5" x14ac:dyDescent="0.2">
      <c r="A25" s="7" t="s">
        <v>81</v>
      </c>
      <c r="D25" t="s">
        <v>32</v>
      </c>
      <c r="E25" t="s">
        <v>138</v>
      </c>
    </row>
    <row r="26" spans="1:5" x14ac:dyDescent="0.2">
      <c r="A26" s="4" t="s">
        <v>82</v>
      </c>
      <c r="D26" t="s">
        <v>33</v>
      </c>
      <c r="E26" t="s">
        <v>139</v>
      </c>
    </row>
    <row r="27" spans="1:5" x14ac:dyDescent="0.2">
      <c r="A27" s="4" t="s">
        <v>83</v>
      </c>
    </row>
    <row r="28" spans="1:5" x14ac:dyDescent="0.2">
      <c r="A28" s="4" t="s">
        <v>84</v>
      </c>
      <c r="D28" s="5" t="s">
        <v>158</v>
      </c>
    </row>
    <row r="29" spans="1:5" x14ac:dyDescent="0.2">
      <c r="A29" s="7" t="s">
        <v>85</v>
      </c>
      <c r="D29" s="4" t="s">
        <v>115</v>
      </c>
      <c r="E29" s="4" t="s">
        <v>46</v>
      </c>
    </row>
    <row r="30" spans="1:5" x14ac:dyDescent="0.2">
      <c r="A30" s="4" t="s">
        <v>86</v>
      </c>
      <c r="D30" t="s">
        <v>1</v>
      </c>
      <c r="E30" t="s">
        <v>142</v>
      </c>
    </row>
    <row r="31" spans="1:5" x14ac:dyDescent="0.2">
      <c r="A31" s="4" t="s">
        <v>87</v>
      </c>
      <c r="D31" t="s">
        <v>2</v>
      </c>
      <c r="E31" t="s">
        <v>143</v>
      </c>
    </row>
    <row r="32" spans="1:5" x14ac:dyDescent="0.2">
      <c r="A32" s="4" t="s">
        <v>88</v>
      </c>
      <c r="D32" t="s">
        <v>3</v>
      </c>
      <c r="E32" t="s">
        <v>144</v>
      </c>
    </row>
    <row r="33" spans="1:5" x14ac:dyDescent="0.2">
      <c r="A33" s="4" t="s">
        <v>89</v>
      </c>
      <c r="D33" t="s">
        <v>145</v>
      </c>
      <c r="E33" t="s">
        <v>146</v>
      </c>
    </row>
    <row r="34" spans="1:5" x14ac:dyDescent="0.2">
      <c r="D34" t="s">
        <v>147</v>
      </c>
      <c r="E34" t="s">
        <v>148</v>
      </c>
    </row>
    <row r="35" spans="1:5" ht="19" x14ac:dyDescent="0.25">
      <c r="A35" s="6" t="s">
        <v>90</v>
      </c>
      <c r="D35" t="s">
        <v>149</v>
      </c>
      <c r="E35" t="s">
        <v>150</v>
      </c>
    </row>
    <row r="36" spans="1:5" x14ac:dyDescent="0.2">
      <c r="A36" t="s">
        <v>91</v>
      </c>
      <c r="D36" t="s">
        <v>151</v>
      </c>
      <c r="E36" t="s">
        <v>152</v>
      </c>
    </row>
    <row r="37" spans="1:5" x14ac:dyDescent="0.2">
      <c r="A37" t="s">
        <v>92</v>
      </c>
      <c r="D37" t="s">
        <v>153</v>
      </c>
      <c r="E37" t="s">
        <v>154</v>
      </c>
    </row>
    <row r="38" spans="1:5" x14ac:dyDescent="0.2">
      <c r="A38" t="s">
        <v>93</v>
      </c>
      <c r="D38" t="s">
        <v>11</v>
      </c>
      <c r="E38" t="s">
        <v>155</v>
      </c>
    </row>
    <row r="39" spans="1:5" x14ac:dyDescent="0.2">
      <c r="A39" t="s">
        <v>94</v>
      </c>
      <c r="D39" t="s">
        <v>156</v>
      </c>
      <c r="E39" t="s">
        <v>157</v>
      </c>
    </row>
    <row r="40" spans="1:5" x14ac:dyDescent="0.2">
      <c r="A40" t="s">
        <v>95</v>
      </c>
    </row>
    <row r="42" spans="1:5" ht="19" x14ac:dyDescent="0.25">
      <c r="A42" s="6" t="s">
        <v>96</v>
      </c>
    </row>
    <row r="43" spans="1:5" x14ac:dyDescent="0.2">
      <c r="A43" t="s">
        <v>97</v>
      </c>
    </row>
    <row r="44" spans="1:5" x14ac:dyDescent="0.2">
      <c r="A44" t="s">
        <v>98</v>
      </c>
    </row>
    <row r="45" spans="1:5" x14ac:dyDescent="0.2">
      <c r="A45" t="s">
        <v>99</v>
      </c>
    </row>
    <row r="47" spans="1:5" ht="19" x14ac:dyDescent="0.25">
      <c r="A47" s="6" t="s">
        <v>100</v>
      </c>
    </row>
    <row r="48" spans="1:5" x14ac:dyDescent="0.2">
      <c r="A48" t="s">
        <v>101</v>
      </c>
    </row>
    <row r="49" spans="1:1" x14ac:dyDescent="0.2">
      <c r="A49" t="s">
        <v>102</v>
      </c>
    </row>
    <row r="50" spans="1:1" x14ac:dyDescent="0.2">
      <c r="A50" t="s">
        <v>103</v>
      </c>
    </row>
    <row r="51" spans="1:1" x14ac:dyDescent="0.2">
      <c r="A51" s="4" t="s">
        <v>104</v>
      </c>
    </row>
    <row r="52" spans="1:1" x14ac:dyDescent="0.2">
      <c r="A52" s="4" t="s">
        <v>105</v>
      </c>
    </row>
    <row r="54" spans="1:1" ht="19" x14ac:dyDescent="0.25">
      <c r="A54" s="6" t="s">
        <v>106</v>
      </c>
    </row>
    <row r="55" spans="1:1" x14ac:dyDescent="0.2">
      <c r="A55" t="s">
        <v>107</v>
      </c>
    </row>
    <row r="56" spans="1:1" x14ac:dyDescent="0.2">
      <c r="A56" t="s">
        <v>108</v>
      </c>
    </row>
    <row r="57" spans="1:1" x14ac:dyDescent="0.2">
      <c r="A57" t="s">
        <v>109</v>
      </c>
    </row>
    <row r="59" spans="1:1" ht="19" x14ac:dyDescent="0.25">
      <c r="A59" s="6" t="s">
        <v>110</v>
      </c>
    </row>
    <row r="60" spans="1:1" x14ac:dyDescent="0.2">
      <c r="A60" t="s">
        <v>111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3F11-8FB0-144B-B366-896FD443ADCB}">
  <dimension ref="A1:B20"/>
  <sheetViews>
    <sheetView workbookViewId="0">
      <selection activeCell="C22" sqref="C22"/>
    </sheetView>
  </sheetViews>
  <sheetFormatPr baseColWidth="10" defaultRowHeight="16" x14ac:dyDescent="0.2"/>
  <cols>
    <col min="1" max="1" width="26.33203125" customWidth="1"/>
    <col min="2" max="2" width="11" customWidth="1"/>
  </cols>
  <sheetData>
    <row r="1" spans="1:2" x14ac:dyDescent="0.2">
      <c r="A1" t="s">
        <v>0</v>
      </c>
      <c r="B1" t="s">
        <v>61</v>
      </c>
    </row>
    <row r="2" spans="1:2" x14ac:dyDescent="0.2">
      <c r="A2" t="s">
        <v>1</v>
      </c>
      <c r="B2" s="1">
        <v>1000</v>
      </c>
    </row>
    <row r="3" spans="1:2" x14ac:dyDescent="0.2">
      <c r="A3" t="s">
        <v>2</v>
      </c>
      <c r="B3" s="1">
        <v>0.6</v>
      </c>
    </row>
    <row r="4" spans="1:2" x14ac:dyDescent="0.2">
      <c r="A4" t="s">
        <v>3</v>
      </c>
      <c r="B4" s="1">
        <v>0.4</v>
      </c>
    </row>
    <row r="5" spans="1:2" x14ac:dyDescent="0.2">
      <c r="A5" t="s">
        <v>4</v>
      </c>
      <c r="B5">
        <f>SUM(B3:B4)</f>
        <v>1</v>
      </c>
    </row>
    <row r="7" spans="1:2" x14ac:dyDescent="0.2">
      <c r="A7" t="s">
        <v>62</v>
      </c>
      <c r="B7" t="s">
        <v>60</v>
      </c>
    </row>
    <row r="8" spans="1:2" x14ac:dyDescent="0.2">
      <c r="A8" t="s">
        <v>5</v>
      </c>
      <c r="B8" s="1">
        <v>0.3</v>
      </c>
    </row>
    <row r="9" spans="1:2" x14ac:dyDescent="0.2">
      <c r="A9" t="s">
        <v>6</v>
      </c>
      <c r="B9" s="1">
        <v>0.5</v>
      </c>
    </row>
    <row r="10" spans="1:2" x14ac:dyDescent="0.2">
      <c r="A10" t="s">
        <v>7</v>
      </c>
      <c r="B10" s="1">
        <v>0.2</v>
      </c>
    </row>
    <row r="11" spans="1:2" x14ac:dyDescent="0.2">
      <c r="A11" t="s">
        <v>4</v>
      </c>
      <c r="B11">
        <f>SUM(B8:B10)</f>
        <v>1</v>
      </c>
    </row>
    <row r="13" spans="1:2" x14ac:dyDescent="0.2">
      <c r="A13" t="s">
        <v>63</v>
      </c>
      <c r="B13" t="s">
        <v>60</v>
      </c>
    </row>
    <row r="14" spans="1:2" x14ac:dyDescent="0.2">
      <c r="A14" t="s">
        <v>8</v>
      </c>
      <c r="B14" s="1">
        <v>0.6</v>
      </c>
    </row>
    <row r="15" spans="1:2" x14ac:dyDescent="0.2">
      <c r="A15" t="s">
        <v>9</v>
      </c>
      <c r="B15" s="1">
        <v>0.4</v>
      </c>
    </row>
    <row r="16" spans="1:2" x14ac:dyDescent="0.2">
      <c r="A16" t="s">
        <v>4</v>
      </c>
      <c r="B16">
        <f>SUM(B14:B15)</f>
        <v>1</v>
      </c>
    </row>
    <row r="18" spans="1:2" x14ac:dyDescent="0.2">
      <c r="A18" t="s">
        <v>10</v>
      </c>
      <c r="B18" t="s">
        <v>61</v>
      </c>
    </row>
    <row r="19" spans="1:2" x14ac:dyDescent="0.2">
      <c r="A19" t="s">
        <v>11</v>
      </c>
      <c r="B19" s="1">
        <v>50</v>
      </c>
    </row>
    <row r="20" spans="1:2" x14ac:dyDescent="0.2">
      <c r="A20" t="s">
        <v>12</v>
      </c>
      <c r="B20" s="1">
        <v>5</v>
      </c>
    </row>
  </sheetData>
  <conditionalFormatting sqref="B5">
    <cfRule type="cellIs" dxfId="2" priority="3" operator="greaterThan">
      <formula>1</formula>
    </cfRule>
  </conditionalFormatting>
  <conditionalFormatting sqref="B11">
    <cfRule type="cellIs" dxfId="1" priority="2" operator="greaterThan">
      <formula>1</formula>
    </cfRule>
  </conditionalFormatting>
  <conditionalFormatting sqref="B16">
    <cfRule type="cellIs" dxfId="0" priority="1" operator="greaterThan">
      <formula>1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8041-B16F-4A4A-B8A0-5033298135D4}">
  <dimension ref="A1:F6"/>
  <sheetViews>
    <sheetView workbookViewId="0">
      <selection activeCell="F15" sqref="F15"/>
    </sheetView>
  </sheetViews>
  <sheetFormatPr baseColWidth="10" defaultRowHeight="16" x14ac:dyDescent="0.2"/>
  <cols>
    <col min="1" max="1" width="14.1640625" bestFit="1" customWidth="1"/>
    <col min="2" max="2" width="12" customWidth="1"/>
    <col min="3" max="3" width="100.6640625" bestFit="1" customWidth="1"/>
    <col min="6" max="6" width="102" bestFit="1" customWidth="1"/>
  </cols>
  <sheetData>
    <row r="1" spans="1:6" x14ac:dyDescent="0.2">
      <c r="A1" t="s">
        <v>44</v>
      </c>
      <c r="B1" t="s">
        <v>59</v>
      </c>
      <c r="C1" t="s">
        <v>52</v>
      </c>
      <c r="E1" s="4" t="s">
        <v>45</v>
      </c>
      <c r="F1" s="4" t="s">
        <v>46</v>
      </c>
    </row>
    <row r="2" spans="1:6" x14ac:dyDescent="0.2">
      <c r="A2" t="s">
        <v>47</v>
      </c>
      <c r="B2" t="s">
        <v>35</v>
      </c>
      <c r="C2" t="s">
        <v>40</v>
      </c>
      <c r="E2">
        <v>1</v>
      </c>
      <c r="F2" t="s">
        <v>54</v>
      </c>
    </row>
    <row r="3" spans="1:6" x14ac:dyDescent="0.2">
      <c r="A3" t="s">
        <v>48</v>
      </c>
      <c r="B3" t="s">
        <v>36</v>
      </c>
      <c r="C3" t="s">
        <v>41</v>
      </c>
      <c r="E3">
        <v>2</v>
      </c>
      <c r="F3" t="s">
        <v>55</v>
      </c>
    </row>
    <row r="4" spans="1:6" x14ac:dyDescent="0.2">
      <c r="A4" t="s">
        <v>49</v>
      </c>
      <c r="B4" t="s">
        <v>37</v>
      </c>
      <c r="C4" t="s">
        <v>42</v>
      </c>
      <c r="E4">
        <v>3</v>
      </c>
      <c r="F4" t="s">
        <v>56</v>
      </c>
    </row>
    <row r="5" spans="1:6" x14ac:dyDescent="0.2">
      <c r="A5" t="s">
        <v>50</v>
      </c>
      <c r="B5" t="s">
        <v>38</v>
      </c>
      <c r="C5" t="s">
        <v>43</v>
      </c>
      <c r="E5">
        <v>4</v>
      </c>
      <c r="F5" t="s">
        <v>57</v>
      </c>
    </row>
    <row r="6" spans="1:6" x14ac:dyDescent="0.2">
      <c r="A6" t="s">
        <v>51</v>
      </c>
      <c r="B6" t="s">
        <v>39</v>
      </c>
      <c r="C6" t="s">
        <v>53</v>
      </c>
      <c r="E6">
        <v>5</v>
      </c>
      <c r="F6" t="s">
        <v>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5713E-E329-074A-848B-30BDBC813087}">
  <dimension ref="A1:X3"/>
  <sheetViews>
    <sheetView tabSelected="1" zoomScale="75" workbookViewId="0">
      <selection activeCell="B6" sqref="B6"/>
    </sheetView>
  </sheetViews>
  <sheetFormatPr baseColWidth="10" defaultRowHeight="16" x14ac:dyDescent="0.2"/>
  <cols>
    <col min="1" max="1" width="16.1640625" bestFit="1" customWidth="1"/>
    <col min="2" max="2" width="12.33203125" bestFit="1" customWidth="1"/>
    <col min="3" max="3" width="20.33203125" bestFit="1" customWidth="1"/>
    <col min="4" max="8" width="11.6640625" bestFit="1" customWidth="1"/>
    <col min="9" max="9" width="12.1640625" bestFit="1" customWidth="1"/>
    <col min="10" max="10" width="10" style="10" bestFit="1" customWidth="1"/>
    <col min="11" max="11" width="10.1640625" style="10" bestFit="1" customWidth="1"/>
    <col min="12" max="12" width="15" style="10" bestFit="1" customWidth="1"/>
    <col min="13" max="13" width="18.6640625" style="10" bestFit="1" customWidth="1"/>
    <col min="14" max="14" width="16" style="10" bestFit="1" customWidth="1"/>
    <col min="15" max="15" width="14.1640625" style="10" bestFit="1" customWidth="1"/>
    <col min="16" max="16" width="18.6640625" style="10" bestFit="1" customWidth="1"/>
    <col min="17" max="17" width="15.5" style="10" bestFit="1" customWidth="1"/>
    <col min="18" max="18" width="16.6640625" style="10" bestFit="1" customWidth="1"/>
    <col min="19" max="19" width="14.83203125" style="10" bestFit="1" customWidth="1"/>
    <col min="20" max="20" width="18.33203125" style="10" bestFit="1" customWidth="1"/>
    <col min="21" max="21" width="11.33203125" style="10" bestFit="1" customWidth="1"/>
    <col min="22" max="22" width="10.83203125" style="10" bestFit="1" customWidth="1"/>
    <col min="23" max="23" width="14" style="10" bestFit="1" customWidth="1"/>
    <col min="24" max="24" width="10.1640625" style="10" bestFit="1" customWidth="1"/>
  </cols>
  <sheetData>
    <row r="1" spans="1:24" x14ac:dyDescent="0.2">
      <c r="A1" s="3" t="s">
        <v>13</v>
      </c>
      <c r="B1" s="3" t="s">
        <v>14</v>
      </c>
      <c r="C1" s="3" t="s">
        <v>34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7</v>
      </c>
      <c r="J1" s="8" t="s">
        <v>21</v>
      </c>
      <c r="K1" s="8" t="s">
        <v>8</v>
      </c>
      <c r="L1" s="8" t="s">
        <v>22</v>
      </c>
      <c r="M1" s="8" t="s">
        <v>23</v>
      </c>
      <c r="N1" s="8" t="s">
        <v>24</v>
      </c>
      <c r="O1" s="8" t="s">
        <v>27</v>
      </c>
      <c r="P1" s="8" t="s">
        <v>15</v>
      </c>
      <c r="Q1" s="8" t="s">
        <v>28</v>
      </c>
      <c r="R1" s="8" t="s">
        <v>25</v>
      </c>
      <c r="S1" s="8" t="s">
        <v>29</v>
      </c>
      <c r="T1" s="8" t="s">
        <v>26</v>
      </c>
      <c r="U1" s="8" t="s">
        <v>30</v>
      </c>
      <c r="V1" s="8" t="s">
        <v>31</v>
      </c>
      <c r="W1" s="8" t="s">
        <v>32</v>
      </c>
      <c r="X1" s="8" t="s">
        <v>33</v>
      </c>
    </row>
    <row r="2" spans="1:24" x14ac:dyDescent="0.2">
      <c r="A2" s="2" t="s">
        <v>113</v>
      </c>
      <c r="B2" s="2"/>
      <c r="C2" s="2">
        <v>2</v>
      </c>
      <c r="D2" s="2">
        <v>2</v>
      </c>
      <c r="E2" s="2">
        <v>3</v>
      </c>
      <c r="F2" s="2">
        <v>3</v>
      </c>
      <c r="G2" s="2">
        <v>5</v>
      </c>
      <c r="H2" s="2">
        <v>5</v>
      </c>
      <c r="I2" s="2">
        <v>5</v>
      </c>
      <c r="J2" s="9">
        <v>100</v>
      </c>
      <c r="K2" s="9">
        <v>4000</v>
      </c>
      <c r="L2" s="9">
        <v>5000</v>
      </c>
      <c r="M2" s="9">
        <v>100</v>
      </c>
      <c r="N2" s="10">
        <f>AVERAGE(Table2[[#This Row],[Boss Q1]],Table2[[#This Row],[Boss Q2]],Table2[[#This Row],[Boss Q3]],Table2[[#This Row],[Boss Q4]],Table2[[#This Row],[Boss Q5]])</f>
        <v>3.6</v>
      </c>
      <c r="O2" s="10">
        <f>(Table2[[#This Row],[Boss Average]]-1)/4</f>
        <v>0.65</v>
      </c>
      <c r="P2" s="10">
        <f>IF(Table2[[#This Row],[Customer Average]]="","",
(Table2[[#This Row],[Customer Average]]-1)/4)</f>
        <v>0.25</v>
      </c>
      <c r="Q2" s="10">
        <f>IF(Table2[[#This Row],[Hours]]&lt;=0,"MISSING HOURS", (Table2[[#This Row],[Mistakes]]/Table2[[#This Row],[Hours]])*Admin!$B$19)</f>
        <v>2.5</v>
      </c>
      <c r="R2" s="10">
        <f>IF(Table2[[#This Row],[Hours]]&lt;=0,"MISSING HOURS", MAX(0,1-(Table2[[#This Row],[Mistake Rate]]/Admin!$B$20)))</f>
        <v>0.5</v>
      </c>
      <c r="S2" s="10">
        <f>IF(Table2[[#This Row],[Target Profit]]&lt;=0,"MISSING TARGET",MIN(1,Table2[[#This Row],[Profit]]/Table2[[#This Row],[Target Profit]]))</f>
        <v>0.8</v>
      </c>
      <c r="T2" s="10">
        <f>IF(OR(Table2[[#This Row],[Hours]]&lt;=0,Table2[[#This Row],[Target Efficiency]]&lt;=0),
"MISSING HOURS/TARGET",
MIN(1,(Table2[[#This Row],[Profit]]/Table2[[#This Row],[Hours]])/Table2[[#This Row],[Target Efficiency]]))</f>
        <v>0.4</v>
      </c>
      <c r="U2" s="10">
        <f>IF(Table2[[#This Row],[Customer Average]]="",
(
(Table2[[#This Row],[Boss Score]]*Admin!$B$9)+(Table2[[#This Row],[Mistake Score]]*Admin!$B$10)
)/(Admin!$B$9+Admin!$B$10),
(Table2[[#This Row],[Customer Score]]*Admin!$B$8)+
(Table2[[#This Row],[Boss Score]]*Admin!$B$9)+
(Table2[[#This Row],[Mistake Score]]*Admin!$B$10)
)</f>
        <v>0.5</v>
      </c>
      <c r="V2" s="10">
        <f>(Table2[[#This Row],[Profit Score]]*Admin!$B$14)+
(Table2[[#This Row],[Efficiency Score]]*Admin!$B$15)</f>
        <v>0.64</v>
      </c>
      <c r="W2" s="10">
        <f>(Table2[[#This Row],[Sub Var]]*Admin!$B$3)+
(Table2[[#This Row],[Obj Var]]*Admin!$B$4)</f>
        <v>0.55600000000000005</v>
      </c>
      <c r="X2" s="11">
        <f>Table2[[#This Row],[Final Score]]*Admin!$B$2</f>
        <v>556</v>
      </c>
    </row>
    <row r="3" spans="1:24" x14ac:dyDescent="0.2">
      <c r="A3" s="2" t="s">
        <v>114</v>
      </c>
      <c r="B3" s="2"/>
      <c r="C3" s="2">
        <v>5</v>
      </c>
      <c r="D3" s="2">
        <v>2</v>
      </c>
      <c r="E3" s="2">
        <v>4</v>
      </c>
      <c r="F3" s="2">
        <v>4</v>
      </c>
      <c r="G3" s="2">
        <v>3</v>
      </c>
      <c r="H3" s="2">
        <v>5</v>
      </c>
      <c r="I3" s="2">
        <v>3</v>
      </c>
      <c r="J3" s="9">
        <v>200</v>
      </c>
      <c r="K3" s="9">
        <v>10000</v>
      </c>
      <c r="L3" s="9">
        <v>12000</v>
      </c>
      <c r="M3" s="9">
        <v>300</v>
      </c>
      <c r="N3" s="10">
        <f>AVERAGE(Table2[[#This Row],[Boss Q1]],Table2[[#This Row],[Boss Q2]],Table2[[#This Row],[Boss Q3]],Table2[[#This Row],[Boss Q4]],Table2[[#This Row],[Boss Q5]])</f>
        <v>3.6</v>
      </c>
      <c r="O3" s="10">
        <f>(Table2[[#This Row],[Boss Average]]-1)/4</f>
        <v>0.65</v>
      </c>
      <c r="P3" s="10">
        <f>IF(Table2[[#This Row],[Customer Average]]="","",
(Table2[[#This Row],[Customer Average]]-1)/4)</f>
        <v>1</v>
      </c>
      <c r="Q3" s="10">
        <f>IF(Table2[[#This Row],[Hours]]&lt;=0,"MISSING HOURS", (Table2[[#This Row],[Mistakes]]/Table2[[#This Row],[Hours]])*Admin!$B$19)</f>
        <v>0.75</v>
      </c>
      <c r="R3" s="10">
        <f>IF(Table2[[#This Row],[Hours]]&lt;=0,"MISSING HOURS", MAX(0,1-(Table2[[#This Row],[Mistake Rate]]/Admin!$B$20)))</f>
        <v>0.85</v>
      </c>
      <c r="S3" s="10">
        <f>IF(Table2[[#This Row],[Target Profit]]&lt;=0,"MISSING TARGET",MIN(1,Table2[[#This Row],[Profit]]/Table2[[#This Row],[Target Profit]]))</f>
        <v>0.83333333333333337</v>
      </c>
      <c r="T3" s="10">
        <f>IF(OR(Table2[[#This Row],[Hours]]&lt;=0,Table2[[#This Row],[Target Efficiency]]&lt;=0),
"MISSING HOURS/TARGET",
MIN(1,(Table2[[#This Row],[Profit]]/Table2[[#This Row],[Hours]])/Table2[[#This Row],[Target Efficiency]]))</f>
        <v>0.16666666666666666</v>
      </c>
      <c r="U3" s="10">
        <f>IF(Table2[[#This Row],[Customer Average]]="",
(
(Table2[[#This Row],[Boss Score]]*Admin!$B$9)+(Table2[[#This Row],[Mistake Score]]*Admin!$B$10)
)/(Admin!$B$9+Admin!$B$10),
(Table2[[#This Row],[Customer Score]]*Admin!$B$8)+
(Table2[[#This Row],[Boss Score]]*Admin!$B$9)+
(Table2[[#This Row],[Mistake Score]]*Admin!$B$10)
)</f>
        <v>0.79500000000000004</v>
      </c>
      <c r="V3" s="10">
        <f>(Table2[[#This Row],[Profit Score]]*Admin!$B$14)+
(Table2[[#This Row],[Efficiency Score]]*Admin!$B$15)</f>
        <v>0.56666666666666665</v>
      </c>
      <c r="W3" s="10">
        <f>(Table2[[#This Row],[Sub Var]]*Admin!$B$3)+
(Table2[[#This Row],[Obj Var]]*Admin!$B$4)</f>
        <v>0.70366666666666666</v>
      </c>
      <c r="X3" s="11">
        <f>Table2[[#This Row],[Final Score]]*Admin!$B$2</f>
        <v>703.66666666666663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Here!</vt:lpstr>
      <vt:lpstr>Admin</vt:lpstr>
      <vt:lpstr>Boss Eval Questions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Hubbard</dc:creator>
  <cp:lastModifiedBy>Emily Hubbard</cp:lastModifiedBy>
  <dcterms:created xsi:type="dcterms:W3CDTF">2026-02-16T16:37:28Z</dcterms:created>
  <dcterms:modified xsi:type="dcterms:W3CDTF">2026-02-17T00:10:19Z</dcterms:modified>
</cp:coreProperties>
</file>